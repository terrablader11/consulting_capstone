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l15\Downloads\"/>
    </mc:Choice>
  </mc:AlternateContent>
  <xr:revisionPtr revIDLastSave="0" documentId="13_ncr:1_{28DCF533-CF38-4C8A-A04A-2384A141988A}" xr6:coauthVersionLast="47" xr6:coauthVersionMax="47" xr10:uidLastSave="{00000000-0000-0000-0000-000000000000}"/>
  <bookViews>
    <workbookView xWindow="-120" yWindow="-120" windowWidth="29040" windowHeight="15720" xr2:uid="{424B8999-287B-4EC3-ACFB-651F16065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4" i="1"/>
  <c r="K5" i="1"/>
  <c r="K6" i="1"/>
  <c r="K7" i="1"/>
  <c r="K8" i="1"/>
  <c r="K10" i="1"/>
  <c r="J3" i="1"/>
  <c r="K3" i="1" s="1"/>
  <c r="J4" i="1"/>
  <c r="J5" i="1"/>
  <c r="J6" i="1"/>
  <c r="J7" i="1"/>
  <c r="J8" i="1"/>
  <c r="J9" i="1"/>
  <c r="K9" i="1" s="1"/>
  <c r="J10" i="1"/>
  <c r="J11" i="1"/>
  <c r="K11" i="1" s="1"/>
  <c r="J2" i="1"/>
  <c r="K2" i="1" s="1"/>
</calcChain>
</file>

<file path=xl/sharedStrings.xml><?xml version="1.0" encoding="utf-8"?>
<sst xmlns="http://schemas.openxmlformats.org/spreadsheetml/2006/main" count="46" uniqueCount="43">
  <si>
    <t>Enhanced Capital</t>
  </si>
  <si>
    <t>1000+</t>
  </si>
  <si>
    <t>Advantage Capital</t>
  </si>
  <si>
    <t>https://www.advantagecap.com</t>
  </si>
  <si>
    <t>small business, affordable housing, renewable energy</t>
  </si>
  <si>
    <t>Stonehenge Capital</t>
  </si>
  <si>
    <t>https://stonehengecapital.com/tax-credit-solutions/</t>
  </si>
  <si>
    <t>Private credit and growth equity for growth stage small businesses.</t>
  </si>
  <si>
    <t>City Scape</t>
  </si>
  <si>
    <t>https://cityscapecapital.com</t>
  </si>
  <si>
    <t>direct equity for historic rehabilitation, new markets, solar energy tax credit</t>
  </si>
  <si>
    <t>none</t>
  </si>
  <si>
    <t>Hunt Capital Partners</t>
  </si>
  <si>
    <t>https://huntcapitalpartners.com</t>
  </si>
  <si>
    <t>focused primarily on affordable housing through LIHTC and other real-estate-related tax credit investments.</t>
  </si>
  <si>
    <t>Monarch Capital</t>
  </si>
  <si>
    <t>https://www.monarchprivate.com</t>
  </si>
  <si>
    <t>affordable housing, renewable energy, historic rehabilitation</t>
  </si>
  <si>
    <t>Apterra Infrastructure Capital</t>
  </si>
  <si>
    <t>https://www.apterra.com/</t>
  </si>
  <si>
    <t>senior secured, mezzaning, tax equity, project bonds, debt placement across industries</t>
  </si>
  <si>
    <t>Greenprint Capital</t>
  </si>
  <si>
    <t>https://greenprintcapital.com/about/</t>
  </si>
  <si>
    <t>Tax equity investing (ITC / PTC),
Tax credit transfers (Section 6418),
Private credit (bridge loans for tax credits),
Structured / hybrid project finance (T-flips, preferred equity)</t>
  </si>
  <si>
    <t>Cinnaire</t>
  </si>
  <si>
    <t>https://cinnaire.com/investors/</t>
  </si>
  <si>
    <t>LIHTC (Low-Income Housing Tax Credit) investing,
NMTC (New Markets Tax Credit) allocations,
Historic Tax Credits (HTC),
Community development lending + structured finance</t>
  </si>
  <si>
    <t>768 community development loans
1,183 housing developments</t>
  </si>
  <si>
    <t>Merchants Capital</t>
  </si>
  <si>
    <t>https://merchantscapital.com/</t>
  </si>
  <si>
    <t>affordable housing finance platform combining tax credit equity with bridge, construction, and permanent debt solutions.</t>
  </si>
  <si>
    <t>Number of Transactions</t>
  </si>
  <si>
    <t>Strategies</t>
  </si>
  <si>
    <t>Website</t>
  </si>
  <si>
    <t>Firm</t>
  </si>
  <si>
    <t>Years of Experience</t>
  </si>
  <si>
    <t>Number of States/Territories Operating</t>
  </si>
  <si>
    <t>Total Value of Transactions ($, billions)</t>
  </si>
  <si>
    <t>Average Deal Size ($, millions)</t>
  </si>
  <si>
    <t>Number of Employees</t>
  </si>
  <si>
    <t>Average Transactions per Year ($, billions)</t>
  </si>
  <si>
    <t>Average Yearly Transactions per Employee ($, millions)</t>
  </si>
  <si>
    <t>Total Transactions per Employee ($,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</si>
</sst>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8" fontId="0" fillId="0" borderId="0" xfId="0" applyNumberFormat="1"/>
    <xf numFmtId="8" fontId="1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wrapText="1"/>
    </xf>
    <xf numFmtId="6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4" fillId="3" borderId="0" xfId="0" applyFont="1" applyFill="1" applyAlignment="1">
      <alignment horizontal="right" vertical="center" wrapText="1"/>
    </xf>
    <xf numFmtId="2" fontId="1" fillId="0" borderId="1" xfId="0" applyNumberFormat="1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nnaire.com/investors/" TargetMode="External"/><Relationship Id="rId3" Type="http://schemas.openxmlformats.org/officeDocument/2006/relationships/hyperlink" Target="https://cityscapecapital.com/" TargetMode="External"/><Relationship Id="rId7" Type="http://schemas.openxmlformats.org/officeDocument/2006/relationships/hyperlink" Target="https://greenprintcapital.com/about/" TargetMode="External"/><Relationship Id="rId2" Type="http://schemas.openxmlformats.org/officeDocument/2006/relationships/hyperlink" Target="https://stonehengecapital.com/tax-credit-solutions/" TargetMode="External"/><Relationship Id="rId1" Type="http://schemas.openxmlformats.org/officeDocument/2006/relationships/hyperlink" Target="https://www.advantagecap.com/" TargetMode="External"/><Relationship Id="rId6" Type="http://schemas.openxmlformats.org/officeDocument/2006/relationships/hyperlink" Target="https://www.apterra.com/" TargetMode="External"/><Relationship Id="rId5" Type="http://schemas.openxmlformats.org/officeDocument/2006/relationships/hyperlink" Target="https://www.monarchprivate.com/" TargetMode="External"/><Relationship Id="rId4" Type="http://schemas.openxmlformats.org/officeDocument/2006/relationships/hyperlink" Target="https://huntcapitalpartners.com/" TargetMode="External"/><Relationship Id="rId9" Type="http://schemas.openxmlformats.org/officeDocument/2006/relationships/hyperlink" Target="https://merchantscap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FA86-1C28-4C76-9F3F-02D88EB79F9A}">
  <dimension ref="A1:L11"/>
  <sheetViews>
    <sheetView tabSelected="1" topLeftCell="A9" workbookViewId="0">
      <selection activeCell="P9" sqref="P9"/>
    </sheetView>
  </sheetViews>
  <sheetFormatPr defaultRowHeight="15" x14ac:dyDescent="0.25"/>
  <sheetData>
    <row r="1" spans="1:12" ht="135.75" thickBot="1" x14ac:dyDescent="0.3">
      <c r="A1" s="2" t="s">
        <v>34</v>
      </c>
      <c r="B1" s="2" t="s">
        <v>33</v>
      </c>
      <c r="C1" s="2" t="s">
        <v>32</v>
      </c>
      <c r="D1" s="2" t="s">
        <v>31</v>
      </c>
      <c r="E1" s="3" t="s">
        <v>36</v>
      </c>
      <c r="F1" s="2" t="s">
        <v>35</v>
      </c>
      <c r="G1" s="3" t="s">
        <v>37</v>
      </c>
      <c r="H1" s="2" t="s">
        <v>38</v>
      </c>
      <c r="I1" s="3" t="s">
        <v>39</v>
      </c>
      <c r="J1" s="10" t="s">
        <v>40</v>
      </c>
      <c r="K1" s="10" t="s">
        <v>41</v>
      </c>
      <c r="L1" s="10" t="s">
        <v>42</v>
      </c>
    </row>
    <row r="2" spans="1:12" ht="27" thickBot="1" x14ac:dyDescent="0.3">
      <c r="A2" s="1" t="s">
        <v>0</v>
      </c>
      <c r="B2" s="1"/>
      <c r="C2" s="1"/>
      <c r="D2" s="1" t="s">
        <v>1</v>
      </c>
      <c r="E2" s="4">
        <v>42</v>
      </c>
      <c r="F2" s="4">
        <v>25</v>
      </c>
      <c r="G2" s="6">
        <v>6.4</v>
      </c>
      <c r="H2" s="1"/>
      <c r="I2" s="4">
        <v>39</v>
      </c>
      <c r="J2" s="5">
        <f>G2/F2</f>
        <v>0.25600000000000001</v>
      </c>
      <c r="K2" s="5">
        <f>J2/I2*1000</f>
        <v>6.5641025641025648</v>
      </c>
      <c r="L2" s="5">
        <f>G2/I2</f>
        <v>0.1641025641025641</v>
      </c>
    </row>
    <row r="3" spans="1:12" ht="78" thickBot="1" x14ac:dyDescent="0.3">
      <c r="A3" s="1" t="s">
        <v>2</v>
      </c>
      <c r="B3" s="7" t="s">
        <v>3</v>
      </c>
      <c r="C3" s="1" t="s">
        <v>4</v>
      </c>
      <c r="D3" s="1"/>
      <c r="E3" s="4">
        <v>39</v>
      </c>
      <c r="F3" s="4">
        <v>34</v>
      </c>
      <c r="G3" s="6">
        <v>5</v>
      </c>
      <c r="H3" s="1"/>
      <c r="I3" s="4">
        <v>220</v>
      </c>
      <c r="J3" s="5">
        <f t="shared" ref="J3:J11" si="0">G3/F3</f>
        <v>0.14705882352941177</v>
      </c>
      <c r="K3" s="5">
        <f t="shared" ref="K3:K11" si="1">J3/I3*1000</f>
        <v>0.66844919786096268</v>
      </c>
      <c r="L3" s="5">
        <f t="shared" ref="L3:L11" si="2">G3/I3</f>
        <v>2.2727272727272728E-2</v>
      </c>
    </row>
    <row r="4" spans="1:12" ht="116.25" thickBot="1" x14ac:dyDescent="0.3">
      <c r="A4" s="1" t="s">
        <v>5</v>
      </c>
      <c r="B4" s="7" t="s">
        <v>6</v>
      </c>
      <c r="C4" s="1" t="s">
        <v>7</v>
      </c>
      <c r="D4" s="1" t="s">
        <v>1</v>
      </c>
      <c r="E4" s="4">
        <v>35</v>
      </c>
      <c r="F4" s="4">
        <v>27</v>
      </c>
      <c r="G4" s="6">
        <v>1.4</v>
      </c>
      <c r="H4" s="4">
        <v>5</v>
      </c>
      <c r="I4" s="4">
        <v>72</v>
      </c>
      <c r="J4" s="5">
        <f t="shared" si="0"/>
        <v>5.185185185185185E-2</v>
      </c>
      <c r="K4" s="5">
        <f t="shared" si="1"/>
        <v>0.72016460905349788</v>
      </c>
      <c r="L4" s="5">
        <f t="shared" si="2"/>
        <v>1.9444444444444445E-2</v>
      </c>
    </row>
    <row r="5" spans="1:12" ht="116.25" thickBot="1" x14ac:dyDescent="0.3">
      <c r="A5" s="1" t="s">
        <v>8</v>
      </c>
      <c r="B5" s="7" t="s">
        <v>9</v>
      </c>
      <c r="C5" s="1" t="s">
        <v>10</v>
      </c>
      <c r="D5" s="1" t="s">
        <v>11</v>
      </c>
      <c r="E5" s="4">
        <v>7</v>
      </c>
      <c r="F5" s="4">
        <v>34</v>
      </c>
      <c r="G5" s="6">
        <v>1.4</v>
      </c>
      <c r="H5" s="1"/>
      <c r="I5" s="4">
        <v>9</v>
      </c>
      <c r="J5" s="5">
        <f t="shared" si="0"/>
        <v>4.1176470588235294E-2</v>
      </c>
      <c r="K5" s="5">
        <f t="shared" si="1"/>
        <v>4.5751633986928111</v>
      </c>
      <c r="L5" s="5">
        <f t="shared" si="2"/>
        <v>0.15555555555555556</v>
      </c>
    </row>
    <row r="6" spans="1:12" ht="180" thickBot="1" x14ac:dyDescent="0.3">
      <c r="A6" s="1" t="s">
        <v>12</v>
      </c>
      <c r="B6" s="7" t="s">
        <v>13</v>
      </c>
      <c r="C6" s="1" t="s">
        <v>14</v>
      </c>
      <c r="D6" s="1" t="s">
        <v>11</v>
      </c>
      <c r="E6" s="4">
        <v>48</v>
      </c>
      <c r="F6" s="4">
        <v>15</v>
      </c>
      <c r="G6" s="6">
        <v>3.8</v>
      </c>
      <c r="H6" s="1"/>
      <c r="I6" s="4">
        <v>75</v>
      </c>
      <c r="J6" s="5">
        <f t="shared" si="0"/>
        <v>0.2533333333333333</v>
      </c>
      <c r="K6" s="5">
        <f t="shared" si="1"/>
        <v>3.3777777777777773</v>
      </c>
      <c r="L6" s="5">
        <f t="shared" si="2"/>
        <v>5.0666666666666665E-2</v>
      </c>
    </row>
    <row r="7" spans="1:12" ht="90.75" thickBot="1" x14ac:dyDescent="0.3">
      <c r="A7" s="1" t="s">
        <v>15</v>
      </c>
      <c r="B7" s="7" t="s">
        <v>16</v>
      </c>
      <c r="C7" s="1" t="s">
        <v>17</v>
      </c>
      <c r="D7" s="1"/>
      <c r="E7" s="4">
        <v>42</v>
      </c>
      <c r="F7" s="4">
        <v>21</v>
      </c>
      <c r="G7" s="8">
        <v>9</v>
      </c>
      <c r="H7" s="4">
        <v>21</v>
      </c>
      <c r="I7" s="4">
        <v>73</v>
      </c>
      <c r="J7" s="5">
        <f t="shared" si="0"/>
        <v>0.42857142857142855</v>
      </c>
      <c r="K7" s="5">
        <f t="shared" si="1"/>
        <v>5.8708414872798436</v>
      </c>
      <c r="L7" s="5">
        <f t="shared" si="2"/>
        <v>0.12328767123287671</v>
      </c>
    </row>
    <row r="8" spans="1:12" ht="141.75" thickBot="1" x14ac:dyDescent="0.3">
      <c r="A8" s="1" t="s">
        <v>18</v>
      </c>
      <c r="B8" s="7" t="s">
        <v>19</v>
      </c>
      <c r="C8" s="1" t="s">
        <v>20</v>
      </c>
      <c r="D8" s="1" t="s">
        <v>11</v>
      </c>
      <c r="E8" s="4">
        <v>9</v>
      </c>
      <c r="F8" s="4">
        <v>3</v>
      </c>
      <c r="G8" s="6">
        <v>9</v>
      </c>
      <c r="H8" s="1"/>
      <c r="I8" s="4">
        <v>21</v>
      </c>
      <c r="J8" s="5">
        <f t="shared" si="0"/>
        <v>3</v>
      </c>
      <c r="K8" s="5">
        <f t="shared" si="1"/>
        <v>142.85714285714286</v>
      </c>
      <c r="L8" s="5">
        <f t="shared" si="2"/>
        <v>0.42857142857142855</v>
      </c>
    </row>
    <row r="9" spans="1:12" ht="282" thickBot="1" x14ac:dyDescent="0.3">
      <c r="A9" s="1" t="s">
        <v>21</v>
      </c>
      <c r="B9" s="7" t="s">
        <v>22</v>
      </c>
      <c r="C9" s="1" t="s">
        <v>23</v>
      </c>
      <c r="D9" s="4">
        <v>70</v>
      </c>
      <c r="E9" s="4">
        <v>47</v>
      </c>
      <c r="F9" s="11">
        <v>7</v>
      </c>
      <c r="G9" s="6">
        <v>3</v>
      </c>
      <c r="H9" s="8">
        <v>45</v>
      </c>
      <c r="I9" s="4">
        <v>16</v>
      </c>
      <c r="J9" s="5">
        <f t="shared" si="0"/>
        <v>0.42857142857142855</v>
      </c>
      <c r="K9" s="5">
        <f t="shared" si="1"/>
        <v>26.785714285714285</v>
      </c>
      <c r="L9" s="5">
        <f t="shared" si="2"/>
        <v>0.1875</v>
      </c>
    </row>
    <row r="10" spans="1:12" ht="320.25" thickBot="1" x14ac:dyDescent="0.3">
      <c r="A10" s="1" t="s">
        <v>24</v>
      </c>
      <c r="B10" s="7" t="s">
        <v>25</v>
      </c>
      <c r="C10" s="1" t="s">
        <v>26</v>
      </c>
      <c r="D10" s="1" t="s">
        <v>27</v>
      </c>
      <c r="E10" s="4">
        <v>9</v>
      </c>
      <c r="F10" s="4">
        <v>33</v>
      </c>
      <c r="G10" s="6">
        <v>7</v>
      </c>
      <c r="H10" s="4">
        <v>5</v>
      </c>
      <c r="I10" s="4">
        <v>170</v>
      </c>
      <c r="J10" s="5">
        <f t="shared" si="0"/>
        <v>0.21212121212121213</v>
      </c>
      <c r="K10" s="5">
        <f t="shared" si="1"/>
        <v>1.2477718360071302</v>
      </c>
      <c r="L10" s="5">
        <f t="shared" si="2"/>
        <v>4.1176470588235294E-2</v>
      </c>
    </row>
    <row r="11" spans="1:12" ht="60.75" thickBot="1" x14ac:dyDescent="0.3">
      <c r="A11" s="1" t="s">
        <v>28</v>
      </c>
      <c r="B11" s="7" t="s">
        <v>29</v>
      </c>
      <c r="C11" s="9" t="s">
        <v>30</v>
      </c>
      <c r="D11" s="1"/>
      <c r="E11" s="4">
        <v>47</v>
      </c>
      <c r="F11" s="4">
        <v>35</v>
      </c>
      <c r="G11" s="6">
        <v>50</v>
      </c>
      <c r="H11" s="1"/>
      <c r="I11" s="4">
        <v>369</v>
      </c>
      <c r="J11" s="5">
        <f t="shared" si="0"/>
        <v>1.4285714285714286</v>
      </c>
      <c r="K11" s="5">
        <f t="shared" si="1"/>
        <v>3.8714672861014323</v>
      </c>
      <c r="L11" s="5">
        <f t="shared" si="2"/>
        <v>0.13550135501355012</v>
      </c>
    </row>
  </sheetData>
  <hyperlinks>
    <hyperlink ref="B3" r:id="rId1" display="https://www.advantagecap.com/" xr:uid="{20C4E1F7-EE14-47C9-A6C2-76E07486D641}"/>
    <hyperlink ref="B4" r:id="rId2" xr:uid="{B754DE9E-1D16-4BDC-8626-189BF39B5ECC}"/>
    <hyperlink ref="B5" r:id="rId3" display="https://cityscapecapital.com/" xr:uid="{A246E210-CD1F-41F6-BB64-9A0962AD2E89}"/>
    <hyperlink ref="B6" r:id="rId4" display="https://huntcapitalpartners.com/" xr:uid="{AE2A9520-7E19-4950-81AF-30F407EAAFBA}"/>
    <hyperlink ref="B7" r:id="rId5" display="https://www.monarchprivate.com/" xr:uid="{669705ED-8C84-4A98-9F04-23CBC5EB1366}"/>
    <hyperlink ref="B8" r:id="rId6" xr:uid="{2FC45D1D-211D-44E6-B36D-F71216F367D4}"/>
    <hyperlink ref="B9" r:id="rId7" xr:uid="{1852EFCC-8778-46F0-8D6F-93E57A325921}"/>
    <hyperlink ref="B10" r:id="rId8" xr:uid="{C4F25188-04AD-4EA8-A956-15484980287A}"/>
    <hyperlink ref="B11" r:id="rId9" xr:uid="{BE380351-E5D6-4FC9-8312-B14647195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Li</dc:creator>
  <cp:lastModifiedBy>Zachary Li</cp:lastModifiedBy>
  <dcterms:created xsi:type="dcterms:W3CDTF">2026-04-01T15:20:06Z</dcterms:created>
  <dcterms:modified xsi:type="dcterms:W3CDTF">2026-04-01T16:02:46Z</dcterms:modified>
</cp:coreProperties>
</file>